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Important Files\LICH LAM VIEC\"/>
    </mc:Choice>
  </mc:AlternateContent>
  <xr:revisionPtr revIDLastSave="0" documentId="13_ncr:1_{645A73BA-692C-411C-9934-646D5385A9F2}" xr6:coauthVersionLast="36" xr6:coauthVersionMax="36" xr10:uidLastSave="{00000000-0000-0000-0000-000000000000}"/>
  <bookViews>
    <workbookView xWindow="0" yWindow="0" windowWidth="22260" windowHeight="12645" firstSheet="1" activeTab="1" xr2:uid="{00000000-000D-0000-FFFF-FFFF00000000}"/>
  </bookViews>
  <sheets>
    <sheet name="Công việc tháng" sheetId="1" state="hidden" r:id="rId1"/>
    <sheet name="Ca đêm" sheetId="4" r:id="rId2"/>
    <sheet name="Sheet1" sheetId="5" state="hidden" r:id="rId3"/>
  </sheets>
  <definedNames>
    <definedName name="_xlnm.Print_Area" localSheetId="1">'Ca đêm'!$A$1:$D$33</definedName>
    <definedName name="_xlnm.Print_Area" localSheetId="0">'Công việc tháng'!$A$1:$F$21</definedName>
    <definedName name="_xlnm.Print_Area" localSheetId="2">Sheet1!$A$1:$V$50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8" i="4" l="1"/>
  <c r="A22" i="4"/>
  <c r="A21" i="4"/>
  <c r="A15" i="4"/>
  <c r="A23" i="4" l="1"/>
  <c r="A33" i="4"/>
  <c r="A3" i="4" l="1"/>
  <c r="A4" i="4"/>
</calcChain>
</file>

<file path=xl/sharedStrings.xml><?xml version="1.0" encoding="utf-8"?>
<sst xmlns="http://schemas.openxmlformats.org/spreadsheetml/2006/main" count="174" uniqueCount="119">
  <si>
    <t>B5F-B1F</t>
  </si>
  <si>
    <t>Tầng hầm</t>
  </si>
  <si>
    <t>DS</t>
  </si>
  <si>
    <t>Hotel</t>
  </si>
  <si>
    <t>SR</t>
  </si>
  <si>
    <t>Office A</t>
  </si>
  <si>
    <t>31F-8F</t>
  </si>
  <si>
    <t>31AF-8AF</t>
  </si>
  <si>
    <t>Office B</t>
  </si>
  <si>
    <t>64AF-33AF</t>
  </si>
  <si>
    <t>Khu vực</t>
  </si>
  <si>
    <t>66F</t>
  </si>
  <si>
    <t>Trạm điện 66F</t>
  </si>
  <si>
    <t>Trạm điện 32F</t>
  </si>
  <si>
    <t>32F</t>
  </si>
  <si>
    <t>Trạm điện B3F</t>
  </si>
  <si>
    <t>B3F</t>
  </si>
  <si>
    <t>65F-33BF</t>
  </si>
  <si>
    <t>Phòng máy, thang máy 66F</t>
  </si>
  <si>
    <t>Phòng máy, thang máy 32F</t>
  </si>
  <si>
    <t>7F</t>
  </si>
  <si>
    <t>Phòng máy B5F</t>
  </si>
  <si>
    <t>Vị trí</t>
  </si>
  <si>
    <t>Outside 1F</t>
  </si>
  <si>
    <t>1F</t>
  </si>
  <si>
    <t>01</t>
  </si>
  <si>
    <t>02</t>
  </si>
  <si>
    <t>03</t>
  </si>
  <si>
    <t>02-03</t>
  </si>
  <si>
    <t>06</t>
  </si>
  <si>
    <t>10-11</t>
  </si>
  <si>
    <t>04-05</t>
  </si>
  <si>
    <t>14-15</t>
  </si>
  <si>
    <t>19-20</t>
  </si>
  <si>
    <t>22-23</t>
  </si>
  <si>
    <t>Ngày thực hiện</t>
  </si>
  <si>
    <t>07</t>
  </si>
  <si>
    <t>08-09</t>
  </si>
  <si>
    <t>12-13</t>
  </si>
  <si>
    <t>24-25</t>
  </si>
  <si>
    <t>B5F</t>
  </si>
  <si>
    <t>16, 18</t>
  </si>
  <si>
    <t>21</t>
  </si>
  <si>
    <t>Office full tầng</t>
  </si>
  <si>
    <t>31BF-8BF</t>
  </si>
  <si>
    <t>26-27</t>
  </si>
  <si>
    <t>28</t>
  </si>
  <si>
    <t>CHẠY THỬ MÁY PHÁT ĐIỆN</t>
  </si>
  <si>
    <t>Phòng máy phát</t>
  </si>
  <si>
    <t>Tên công việc</t>
  </si>
  <si>
    <t>Ngày cuối tháng</t>
  </si>
  <si>
    <t>04</t>
  </si>
  <si>
    <t>05</t>
  </si>
  <si>
    <t>09</t>
  </si>
  <si>
    <t>14</t>
  </si>
  <si>
    <t>11</t>
  </si>
  <si>
    <t>Đã tạo</t>
  </si>
  <si>
    <t>Cơ sở quản lý</t>
  </si>
  <si>
    <t>Public</t>
  </si>
  <si>
    <t>VỆ SINH TRẠM ĐIỆN, PHÒNG DẦU</t>
  </si>
  <si>
    <t>Các kho trạm điện B3F &amp; kho Outside B3F</t>
  </si>
  <si>
    <t>Trạm 66F, 32F, B3F, phòng dầu B1F, phòng máy phát</t>
  </si>
  <si>
    <t>66F, 32F, B3F, B1F</t>
  </si>
  <si>
    <t>6F-1F</t>
  </si>
  <si>
    <t>[CA ĐÊM] VỆ SINH TRẠM ĐIỆN, PHÒNG DẦU</t>
  </si>
  <si>
    <t>2~3 ngày cuối tháng</t>
  </si>
  <si>
    <t>đã sửa</t>
  </si>
  <si>
    <t>ok</t>
  </si>
  <si>
    <t>Phòng máy, EPS 7F</t>
  </si>
  <si>
    <t>Chỉ thị FMS</t>
  </si>
  <si>
    <t>16</t>
  </si>
  <si>
    <t>17</t>
  </si>
  <si>
    <t>15</t>
  </si>
  <si>
    <t>27-29</t>
  </si>
  <si>
    <t>2 Ngày cuối tháng</t>
  </si>
  <si>
    <t>Office</t>
  </si>
  <si>
    <t>SỬA ĐÈN CHIẾU SÁNG HÀNH LANG, NHÀ VỆ SINH OFFICE</t>
  </si>
  <si>
    <t xml:space="preserve">Office </t>
  </si>
  <si>
    <t>Office 31F-8F</t>
  </si>
  <si>
    <r>
      <rPr>
        <sz val="13"/>
        <color theme="1"/>
        <rFont val="Calibri"/>
        <family val="2"/>
        <scheme val="minor"/>
      </rPr>
      <t>Thứ 7 chủ nhật</t>
    </r>
    <r>
      <rPr>
        <b/>
        <sz val="13"/>
        <color theme="1"/>
        <rFont val="Calibri"/>
        <family val="2"/>
        <scheme val="minor"/>
      </rPr>
      <t xml:space="preserve"> hàng tuần</t>
    </r>
  </si>
  <si>
    <t xml:space="preserve">LỊCH LÀM VIỆC ĐỘI ĐIỆN </t>
  </si>
  <si>
    <t>KIỂM TRA, HEATING TỦ ĐIỆN ĐỊNH KỲ</t>
  </si>
  <si>
    <r>
      <rPr>
        <sz val="13"/>
        <color theme="1"/>
        <rFont val="Calibri"/>
        <family val="2"/>
        <scheme val="minor"/>
      </rPr>
      <t>Chủ nhật</t>
    </r>
    <r>
      <rPr>
        <b/>
        <sz val="13"/>
        <color theme="1"/>
        <rFont val="Calibri"/>
        <family val="2"/>
        <scheme val="minor"/>
      </rPr>
      <t xml:space="preserve"> hàng tuần</t>
    </r>
  </si>
  <si>
    <t>CHECK TÌNH TRẠNG ẮC QUY CÁC TRẠM</t>
  </si>
  <si>
    <t>B3F, 32F, 66F</t>
  </si>
  <si>
    <t>Trạm B3F, 32F, 66F</t>
  </si>
  <si>
    <t>10</t>
  </si>
  <si>
    <t>08</t>
  </si>
  <si>
    <t>13</t>
  </si>
  <si>
    <t>12</t>
  </si>
  <si>
    <t>19</t>
  </si>
  <si>
    <t>18</t>
  </si>
  <si>
    <t>22</t>
  </si>
  <si>
    <t>20</t>
  </si>
  <si>
    <t>23</t>
  </si>
  <si>
    <t>24</t>
  </si>
  <si>
    <t>25</t>
  </si>
  <si>
    <t>26</t>
  </si>
  <si>
    <t>Ngày trong tháng</t>
  </si>
  <si>
    <t>Dọn kho vật tư hỏng trạm điện B3F</t>
  </si>
  <si>
    <t>Bảo trì vệ sinh cửa trượt B5F</t>
  </si>
  <si>
    <t>Bảo trì vệ sinh cửa trượt B4F</t>
  </si>
  <si>
    <t>Bảo trì vệ sinh cửa trượt B3F</t>
  </si>
  <si>
    <t>Bảo trì vệ sinh cửa trượt B2F</t>
  </si>
  <si>
    <t>Bảo trì vệ sinh cửa trượt 7F</t>
  </si>
  <si>
    <t>Bảo trì vệ sinh cửa trượt 33F, 38F</t>
  </si>
  <si>
    <t>Bảo trì tủ điện phòng máy 66F</t>
  </si>
  <si>
    <t>Bảo trì tủ điện phòng máy 32F</t>
  </si>
  <si>
    <t>Bảo trì tủ điện phòng máy 7F</t>
  </si>
  <si>
    <t>Bảo trì tủ điện phòng máy B5F</t>
  </si>
  <si>
    <t>Bảo trì, vệ sinh tủ điện khu vực Office A</t>
  </si>
  <si>
    <t>Bảo trì, vệ sinh tủ điện khu vực Office B</t>
  </si>
  <si>
    <t>Bảo trì vệ sinh cửa trượt Lotte Mart B1F, 1F, SR 1F</t>
  </si>
  <si>
    <t>Chốt số điện SR</t>
  </si>
  <si>
    <t>Chốt số điện Office</t>
  </si>
  <si>
    <t>Giám sát nhà thầu bảo trì Bảo trì vệ sinh cửa trượt, cửa xoay</t>
  </si>
  <si>
    <t>Trạm 66F, 32F, B3F, phòng dầu B1F, bảo trì tủ điện phòng máy phát</t>
  </si>
  <si>
    <t>Công việc</t>
  </si>
  <si>
    <t>Chỉ làm tháng chẵn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</si>
</sst>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rgb="FFFFB7B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/>
    <xf numFmtId="49" fontId="3" fillId="0" borderId="0" xfId="0" applyNumberFormat="1" applyFont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 wrapText="1"/>
    </xf>
    <xf numFmtId="49" fontId="0" fillId="0" borderId="5" xfId="0" applyNumberFormat="1" applyFont="1" applyFill="1" applyBorder="1" applyAlignment="1">
      <alignment horizontal="center" vertical="center" wrapText="1"/>
    </xf>
    <xf numFmtId="49" fontId="0" fillId="0" borderId="5" xfId="0" applyNumberFormat="1" applyFont="1" applyFill="1" applyBorder="1" applyAlignment="1">
      <alignment horizontal="left" vertical="center" wrapText="1"/>
    </xf>
    <xf numFmtId="49" fontId="0" fillId="0" borderId="5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4" borderId="5" xfId="0" applyNumberFormat="1" applyFont="1" applyFill="1" applyBorder="1" applyAlignment="1">
      <alignment horizontal="center" vertical="center"/>
    </xf>
    <xf numFmtId="49" fontId="0" fillId="4" borderId="5" xfId="0" applyNumberFormat="1" applyFont="1" applyFill="1" applyBorder="1" applyAlignment="1">
      <alignment horizontal="left" vertical="center" wrapText="1"/>
    </xf>
    <xf numFmtId="49" fontId="0" fillId="4" borderId="5" xfId="0" applyNumberFormat="1" applyFont="1" applyFill="1" applyBorder="1" applyAlignment="1">
      <alignment horizontal="center" vertical="center" wrapText="1"/>
    </xf>
    <xf numFmtId="49" fontId="0" fillId="4" borderId="1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left" vertical="center" wrapText="1"/>
    </xf>
    <xf numFmtId="49" fontId="6" fillId="0" borderId="5" xfId="0" applyNumberFormat="1" applyFont="1" applyBorder="1" applyAlignment="1">
      <alignment horizontal="left" vertical="center"/>
    </xf>
    <xf numFmtId="49" fontId="6" fillId="3" borderId="5" xfId="0" applyNumberFormat="1" applyFont="1" applyFill="1" applyBorder="1" applyAlignment="1">
      <alignment horizontal="left" vertical="center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left" vertical="center" wrapText="1"/>
    </xf>
    <xf numFmtId="49" fontId="6" fillId="3" borderId="5" xfId="0" applyNumberFormat="1" applyFont="1" applyFill="1" applyBorder="1" applyAlignment="1">
      <alignment vertical="center" wrapText="1"/>
    </xf>
    <xf numFmtId="49" fontId="6" fillId="0" borderId="5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6" borderId="1" xfId="0" applyNumberFormat="1" applyFont="1" applyFill="1" applyBorder="1" applyAlignment="1">
      <alignment horizontal="center" vertical="center"/>
    </xf>
    <xf numFmtId="49" fontId="0" fillId="6" borderId="1" xfId="0" applyNumberFormat="1" applyFont="1" applyFill="1" applyBorder="1" applyAlignment="1">
      <alignment horizontal="left" vertical="center" wrapText="1"/>
    </xf>
    <xf numFmtId="49" fontId="0" fillId="4" borderId="4" xfId="0" applyNumberFormat="1" applyFont="1" applyFill="1" applyBorder="1" applyAlignment="1">
      <alignment horizontal="center" vertical="center"/>
    </xf>
    <xf numFmtId="49" fontId="0" fillId="0" borderId="3" xfId="0" applyNumberFormat="1" applyFont="1" applyFill="1" applyBorder="1" applyAlignment="1">
      <alignment horizontal="center" vertical="center"/>
    </xf>
    <xf numFmtId="49" fontId="0" fillId="6" borderId="1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vertical="center"/>
    </xf>
    <xf numFmtId="49" fontId="6" fillId="0" borderId="4" xfId="0" applyNumberFormat="1" applyFont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left" vertical="center" wrapText="1"/>
    </xf>
    <xf numFmtId="49" fontId="6" fillId="6" borderId="1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left" vertical="center"/>
    </xf>
    <xf numFmtId="2" fontId="2" fillId="6" borderId="5" xfId="0" applyNumberFormat="1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left" vertical="center" wrapText="1"/>
    </xf>
    <xf numFmtId="49" fontId="6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5" fillId="8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center" vertical="center" wrapText="1"/>
    </xf>
    <xf numFmtId="49" fontId="0" fillId="4" borderId="1" xfId="0" applyNumberFormat="1" applyFont="1" applyFill="1" applyBorder="1" applyAlignment="1">
      <alignment horizontal="left" vertical="center" wrapText="1"/>
    </xf>
    <xf numFmtId="49" fontId="0" fillId="4" borderId="4" xfId="0" applyNumberFormat="1" applyFont="1" applyFill="1" applyBorder="1" applyAlignment="1">
      <alignment horizontal="left" vertical="center" wrapText="1"/>
    </xf>
    <xf numFmtId="49" fontId="0" fillId="0" borderId="3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" fontId="6" fillId="0" borderId="4" xfId="0" applyNumberFormat="1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 vertical="center" wrapText="1"/>
    </xf>
    <xf numFmtId="1" fontId="6" fillId="6" borderId="4" xfId="0" applyNumberFormat="1" applyFont="1" applyFill="1" applyBorder="1" applyAlignment="1">
      <alignment horizontal="center" vertical="center" wrapText="1"/>
    </xf>
    <xf numFmtId="1" fontId="6" fillId="6" borderId="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49" fontId="0" fillId="4" borderId="6" xfId="0" applyNumberFormat="1" applyFont="1" applyFill="1" applyBorder="1" applyAlignment="1">
      <alignment horizontal="left" vertical="center" wrapText="1"/>
    </xf>
    <xf numFmtId="49" fontId="0" fillId="0" borderId="6" xfId="0" applyNumberFormat="1" applyFont="1" applyFill="1" applyBorder="1" applyAlignment="1">
      <alignment horizontal="left" vertical="center" wrapText="1"/>
    </xf>
    <xf numFmtId="49" fontId="0" fillId="0" borderId="4" xfId="0" applyNumberFormat="1" applyFont="1" applyFill="1" applyBorder="1" applyAlignment="1">
      <alignment horizontal="left" vertical="center" wrapText="1"/>
    </xf>
    <xf numFmtId="0" fontId="0" fillId="5" borderId="2" xfId="0" applyFont="1" applyFill="1" applyBorder="1" applyAlignment="1">
      <alignment horizontal="left" vertical="center" wrapText="1"/>
    </xf>
    <xf numFmtId="49" fontId="0" fillId="0" borderId="2" xfId="0" applyNumberFormat="1" applyFont="1" applyFill="1" applyBorder="1" applyAlignment="1">
      <alignment horizontal="left" vertical="center" wrapText="1"/>
    </xf>
    <xf numFmtId="0" fontId="0" fillId="5" borderId="3" xfId="0" applyFont="1" applyFill="1" applyBorder="1" applyAlignment="1">
      <alignment horizontal="left" vertical="center" wrapText="1"/>
    </xf>
    <xf numFmtId="0" fontId="0" fillId="5" borderId="4" xfId="0" applyFont="1" applyFill="1" applyBorder="1" applyAlignment="1">
      <alignment horizontal="left" vertical="center" wrapText="1"/>
    </xf>
    <xf numFmtId="49" fontId="0" fillId="4" borderId="2" xfId="0" applyNumberFormat="1" applyFont="1" applyFill="1" applyBorder="1" applyAlignment="1">
      <alignment horizontal="left" vertical="center" wrapText="1"/>
    </xf>
    <xf numFmtId="49" fontId="0" fillId="6" borderId="4" xfId="0" applyNumberFormat="1" applyFont="1" applyFill="1" applyBorder="1" applyAlignment="1">
      <alignment horizontal="left" vertical="center" wrapText="1"/>
    </xf>
    <xf numFmtId="49" fontId="0" fillId="6" borderId="3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7B7"/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0</xdr:row>
          <xdr:rowOff>19050</xdr:rowOff>
        </xdr:from>
        <xdr:to>
          <xdr:col>17</xdr:col>
          <xdr:colOff>571500</xdr:colOff>
          <xdr:row>20</xdr:row>
          <xdr:rowOff>19050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4AC865A4-9AD1-4F94-80A5-189ABC8FCB8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F$20" spid="_x0000_s14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307036" y="19050"/>
              <a:ext cx="6408964" cy="88174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</xdr:row>
          <xdr:rowOff>92528</xdr:rowOff>
        </xdr:from>
        <xdr:to>
          <xdr:col>10</xdr:col>
          <xdr:colOff>333375</xdr:colOff>
          <xdr:row>49</xdr:row>
          <xdr:rowOff>95250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5A25400E-9971-4334-895A-AED2206D89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ông việc tháng'!$A$1:$F$20" spid="_x0000_s31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7625" y="473528"/>
              <a:ext cx="6408964" cy="914672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18421</xdr:colOff>
          <xdr:row>1</xdr:row>
          <xdr:rowOff>88445</xdr:rowOff>
        </xdr:from>
        <xdr:to>
          <xdr:col>21</xdr:col>
          <xdr:colOff>300996</xdr:colOff>
          <xdr:row>49</xdr:row>
          <xdr:rowOff>81643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5CBCA292-E1E5-4CFB-8A70-68088E8C96C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 đêm'!$A$2:$D$33" spid="_x0000_s317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753957" y="469445"/>
              <a:ext cx="6405789" cy="913719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view="pageBreakPreview" zoomScale="70" zoomScaleNormal="100" zoomScaleSheetLayoutView="70" workbookViewId="0">
      <selection activeCell="H21" sqref="H21"/>
    </sheetView>
  </sheetViews>
  <sheetFormatPr defaultRowHeight="15" x14ac:dyDescent="0.25"/>
  <cols>
    <col min="1" max="1" width="27.85546875" customWidth="1"/>
    <col min="2" max="2" width="12.85546875" style="54" customWidth="1"/>
    <col min="3" max="3" width="12.140625" style="1" customWidth="1"/>
    <col min="4" max="4" width="23" style="1" customWidth="1"/>
    <col min="5" max="5" width="10.7109375" style="59" customWidth="1"/>
  </cols>
  <sheetData>
    <row r="1" spans="1:7" s="2" customFormat="1" ht="34.5" customHeight="1" x14ac:dyDescent="0.25">
      <c r="A1" s="16" t="s">
        <v>49</v>
      </c>
      <c r="B1" s="16" t="s">
        <v>35</v>
      </c>
      <c r="C1" s="16" t="s">
        <v>57</v>
      </c>
      <c r="D1" s="16" t="s">
        <v>10</v>
      </c>
      <c r="E1" s="17" t="s">
        <v>22</v>
      </c>
      <c r="F1" s="17" t="s">
        <v>69</v>
      </c>
    </row>
    <row r="2" spans="1:7" s="4" customFormat="1" ht="32.25" customHeight="1" x14ac:dyDescent="0.25">
      <c r="A2" s="70" t="s">
        <v>81</v>
      </c>
      <c r="B2" s="18" t="s">
        <v>25</v>
      </c>
      <c r="C2" s="73" t="s">
        <v>58</v>
      </c>
      <c r="D2" s="19" t="s">
        <v>12</v>
      </c>
      <c r="E2" s="56" t="s">
        <v>11</v>
      </c>
      <c r="F2" s="28" t="s">
        <v>56</v>
      </c>
      <c r="G2" s="4" t="s">
        <v>67</v>
      </c>
    </row>
    <row r="3" spans="1:7" ht="32.25" customHeight="1" x14ac:dyDescent="0.25">
      <c r="A3" s="71"/>
      <c r="B3" s="22" t="s">
        <v>28</v>
      </c>
      <c r="C3" s="74"/>
      <c r="D3" s="20" t="s">
        <v>13</v>
      </c>
      <c r="E3" s="57" t="s">
        <v>14</v>
      </c>
      <c r="F3" s="26" t="s">
        <v>56</v>
      </c>
      <c r="G3" s="4" t="s">
        <v>67</v>
      </c>
    </row>
    <row r="4" spans="1:7" ht="32.25" customHeight="1" x14ac:dyDescent="0.25">
      <c r="A4" s="71"/>
      <c r="B4" s="18" t="s">
        <v>31</v>
      </c>
      <c r="C4" s="74"/>
      <c r="D4" s="21" t="s">
        <v>15</v>
      </c>
      <c r="E4" s="56" t="s">
        <v>16</v>
      </c>
      <c r="F4" s="28" t="s">
        <v>56</v>
      </c>
      <c r="G4" s="4" t="s">
        <v>67</v>
      </c>
    </row>
    <row r="5" spans="1:7" s="3" customFormat="1" ht="32.25" customHeight="1" x14ac:dyDescent="0.25">
      <c r="A5" s="71"/>
      <c r="B5" s="22" t="s">
        <v>29</v>
      </c>
      <c r="C5" s="74"/>
      <c r="D5" s="23" t="s">
        <v>18</v>
      </c>
      <c r="E5" s="57" t="s">
        <v>11</v>
      </c>
      <c r="F5" s="26" t="s">
        <v>56</v>
      </c>
      <c r="G5" s="4" t="s">
        <v>67</v>
      </c>
    </row>
    <row r="6" spans="1:7" s="4" customFormat="1" ht="32.25" customHeight="1" x14ac:dyDescent="0.25">
      <c r="A6" s="71"/>
      <c r="B6" s="18" t="s">
        <v>36</v>
      </c>
      <c r="C6" s="74"/>
      <c r="D6" s="24" t="s">
        <v>19</v>
      </c>
      <c r="E6" s="56" t="s">
        <v>14</v>
      </c>
      <c r="F6" s="28" t="s">
        <v>56</v>
      </c>
      <c r="G6" s="4" t="s">
        <v>67</v>
      </c>
    </row>
    <row r="7" spans="1:7" ht="32.25" customHeight="1" x14ac:dyDescent="0.25">
      <c r="A7" s="71"/>
      <c r="B7" s="22" t="s">
        <v>37</v>
      </c>
      <c r="C7" s="74"/>
      <c r="D7" s="25" t="s">
        <v>68</v>
      </c>
      <c r="E7" s="57" t="s">
        <v>20</v>
      </c>
      <c r="F7" s="26" t="s">
        <v>56</v>
      </c>
      <c r="G7" t="s">
        <v>66</v>
      </c>
    </row>
    <row r="8" spans="1:7" ht="32.25" customHeight="1" x14ac:dyDescent="0.25">
      <c r="A8" s="71"/>
      <c r="B8" s="18" t="s">
        <v>30</v>
      </c>
      <c r="C8" s="74"/>
      <c r="D8" s="24" t="s">
        <v>21</v>
      </c>
      <c r="E8" s="56" t="s">
        <v>40</v>
      </c>
      <c r="F8" s="28" t="s">
        <v>56</v>
      </c>
      <c r="G8" s="4" t="s">
        <v>67</v>
      </c>
    </row>
    <row r="9" spans="1:7" s="4" customFormat="1" ht="32.25" customHeight="1" x14ac:dyDescent="0.25">
      <c r="A9" s="71"/>
      <c r="B9" s="22" t="s">
        <v>38</v>
      </c>
      <c r="C9" s="74"/>
      <c r="D9" s="20" t="s">
        <v>4</v>
      </c>
      <c r="E9" s="57" t="s">
        <v>9</v>
      </c>
      <c r="F9" s="29" t="s">
        <v>56</v>
      </c>
      <c r="G9" s="4" t="s">
        <v>66</v>
      </c>
    </row>
    <row r="10" spans="1:7" s="4" customFormat="1" ht="32.25" customHeight="1" x14ac:dyDescent="0.25">
      <c r="A10" s="71"/>
      <c r="B10" s="18" t="s">
        <v>32</v>
      </c>
      <c r="C10" s="74"/>
      <c r="D10" s="21" t="s">
        <v>3</v>
      </c>
      <c r="E10" s="56" t="s">
        <v>17</v>
      </c>
      <c r="F10" s="28" t="s">
        <v>56</v>
      </c>
      <c r="G10" s="4" t="s">
        <v>66</v>
      </c>
    </row>
    <row r="11" spans="1:7" s="4" customFormat="1" ht="32.25" customHeight="1" x14ac:dyDescent="0.25">
      <c r="A11" s="71"/>
      <c r="B11" s="22" t="s">
        <v>41</v>
      </c>
      <c r="C11" s="74"/>
      <c r="D11" s="20" t="s">
        <v>5</v>
      </c>
      <c r="E11" s="57" t="s">
        <v>7</v>
      </c>
      <c r="F11" s="29" t="s">
        <v>56</v>
      </c>
      <c r="G11" s="4" t="s">
        <v>66</v>
      </c>
    </row>
    <row r="12" spans="1:7" s="4" customFormat="1" ht="32.25" customHeight="1" x14ac:dyDescent="0.25">
      <c r="A12" s="71"/>
      <c r="B12" s="18" t="s">
        <v>33</v>
      </c>
      <c r="C12" s="74"/>
      <c r="D12" s="21" t="s">
        <v>8</v>
      </c>
      <c r="E12" s="56" t="s">
        <v>44</v>
      </c>
      <c r="F12" s="28" t="s">
        <v>56</v>
      </c>
      <c r="G12" s="4" t="s">
        <v>66</v>
      </c>
    </row>
    <row r="13" spans="1:7" s="4" customFormat="1" ht="32.25" customHeight="1" x14ac:dyDescent="0.25">
      <c r="A13" s="71"/>
      <c r="B13" s="22" t="s">
        <v>42</v>
      </c>
      <c r="C13" s="74"/>
      <c r="D13" s="20" t="s">
        <v>43</v>
      </c>
      <c r="E13" s="57" t="s">
        <v>6</v>
      </c>
      <c r="F13" s="29" t="s">
        <v>56</v>
      </c>
      <c r="G13" s="4" t="s">
        <v>66</v>
      </c>
    </row>
    <row r="14" spans="1:7" s="4" customFormat="1" ht="32.25" customHeight="1" x14ac:dyDescent="0.25">
      <c r="A14" s="71"/>
      <c r="B14" s="18" t="s">
        <v>34</v>
      </c>
      <c r="C14" s="74"/>
      <c r="D14" s="21" t="s">
        <v>1</v>
      </c>
      <c r="E14" s="56" t="s">
        <v>0</v>
      </c>
      <c r="F14" s="28" t="s">
        <v>56</v>
      </c>
      <c r="G14" s="4" t="s">
        <v>66</v>
      </c>
    </row>
    <row r="15" spans="1:7" s="4" customFormat="1" ht="32.25" customHeight="1" x14ac:dyDescent="0.25">
      <c r="A15" s="71"/>
      <c r="B15" s="22" t="s">
        <v>39</v>
      </c>
      <c r="C15" s="74"/>
      <c r="D15" s="20" t="s">
        <v>2</v>
      </c>
      <c r="E15" s="57" t="s">
        <v>63</v>
      </c>
      <c r="F15" s="29" t="s">
        <v>56</v>
      </c>
      <c r="G15" s="4" t="s">
        <v>66</v>
      </c>
    </row>
    <row r="16" spans="1:7" s="4" customFormat="1" ht="32.25" customHeight="1" x14ac:dyDescent="0.25">
      <c r="A16" s="71"/>
      <c r="B16" s="18" t="s">
        <v>45</v>
      </c>
      <c r="C16" s="74"/>
      <c r="D16" s="21" t="s">
        <v>3</v>
      </c>
      <c r="E16" s="56" t="s">
        <v>63</v>
      </c>
      <c r="F16" s="29" t="s">
        <v>56</v>
      </c>
      <c r="G16" s="4" t="s">
        <v>66</v>
      </c>
    </row>
    <row r="17" spans="1:7" s="4" customFormat="1" ht="32.25" customHeight="1" x14ac:dyDescent="0.25">
      <c r="A17" s="72"/>
      <c r="B17" s="50" t="s">
        <v>46</v>
      </c>
      <c r="C17" s="74"/>
      <c r="D17" s="37" t="s">
        <v>23</v>
      </c>
      <c r="E17" s="57" t="s">
        <v>24</v>
      </c>
      <c r="F17" s="38" t="s">
        <v>56</v>
      </c>
      <c r="G17" s="4" t="s">
        <v>66</v>
      </c>
    </row>
    <row r="18" spans="1:7" s="4" customFormat="1" ht="57" customHeight="1" x14ac:dyDescent="0.25">
      <c r="A18" s="35" t="s">
        <v>59</v>
      </c>
      <c r="B18" s="39" t="s">
        <v>65</v>
      </c>
      <c r="C18" s="75"/>
      <c r="D18" s="40" t="s">
        <v>61</v>
      </c>
      <c r="E18" s="58" t="s">
        <v>62</v>
      </c>
      <c r="F18" s="36"/>
    </row>
    <row r="19" spans="1:7" ht="32.25" customHeight="1" x14ac:dyDescent="0.25">
      <c r="A19" s="35" t="s">
        <v>47</v>
      </c>
      <c r="B19" s="51" t="s">
        <v>50</v>
      </c>
      <c r="C19" s="76"/>
      <c r="D19" s="42" t="s">
        <v>48</v>
      </c>
      <c r="E19" s="51" t="s">
        <v>16</v>
      </c>
      <c r="F19" s="41"/>
    </row>
    <row r="20" spans="1:7" ht="57" customHeight="1" x14ac:dyDescent="0.25">
      <c r="A20" s="46" t="s">
        <v>76</v>
      </c>
      <c r="B20" s="53" t="s">
        <v>79</v>
      </c>
      <c r="C20" s="47" t="s">
        <v>75</v>
      </c>
      <c r="D20" s="49" t="s">
        <v>77</v>
      </c>
      <c r="E20" s="55" t="s">
        <v>78</v>
      </c>
      <c r="F20" s="48"/>
    </row>
    <row r="21" spans="1:7" ht="41.25" customHeight="1" x14ac:dyDescent="0.25">
      <c r="A21" s="46" t="s">
        <v>83</v>
      </c>
      <c r="B21" s="53" t="s">
        <v>82</v>
      </c>
      <c r="C21" s="47" t="s">
        <v>58</v>
      </c>
      <c r="D21" s="49" t="s">
        <v>85</v>
      </c>
      <c r="E21" s="55" t="s">
        <v>84</v>
      </c>
      <c r="F21" s="48"/>
    </row>
  </sheetData>
  <mergeCells count="3">
    <mergeCell ref="A2:A17"/>
    <mergeCell ref="C2:C17"/>
    <mergeCell ref="C18:C19"/>
  </mergeCells>
  <pageMargins left="0.7" right="0.7" top="0.75" bottom="0.75" header="0.3" footer="0.3"/>
  <pageSetup paperSize="9" scale="66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90A0-DC3D-4AA5-AE5A-AC76FECBC23F}">
  <sheetPr>
    <tabColor rgb="FFFFFF00"/>
  </sheetPr>
  <dimension ref="A1:D33"/>
  <sheetViews>
    <sheetView tabSelected="1" view="pageBreakPreview" topLeftCell="A16" zoomScaleNormal="100" zoomScaleSheetLayoutView="100" workbookViewId="0">
      <selection activeCell="J11" sqref="J11"/>
    </sheetView>
  </sheetViews>
  <sheetFormatPr defaultRowHeight="15" x14ac:dyDescent="0.25"/>
  <cols>
    <col min="1" max="1" width="23" customWidth="1"/>
    <col min="2" max="2" width="9.85546875" style="1" customWidth="1"/>
    <col min="3" max="3" width="25.140625" style="52" customWidth="1"/>
    <col min="4" max="4" width="10.85546875" style="52" customWidth="1"/>
  </cols>
  <sheetData>
    <row r="1" spans="1:4" s="5" customFormat="1" ht="15.75" customHeight="1" x14ac:dyDescent="0.35">
      <c r="A1" s="6"/>
      <c r="B1" s="6"/>
      <c r="C1" s="60"/>
      <c r="D1" s="60"/>
    </row>
    <row r="2" spans="1:4" s="2" customFormat="1" ht="39" customHeight="1" x14ac:dyDescent="0.25">
      <c r="A2" s="7" t="s">
        <v>49</v>
      </c>
      <c r="B2" s="7" t="s">
        <v>98</v>
      </c>
      <c r="C2" s="7" t="s">
        <v>117</v>
      </c>
      <c r="D2" s="7" t="s">
        <v>118</v>
      </c>
    </row>
    <row r="3" spans="1:4" s="2" customFormat="1" ht="30.75" customHeight="1" x14ac:dyDescent="0.25">
      <c r="A3" s="43" t="str">
        <f>UPPER("[Ca đêm] Dọn kho vật tư hỏng")</f>
        <v>[CA ĐÊM] DỌN KHO VẬT TƯ HỎNG</v>
      </c>
      <c r="B3" s="30" t="s">
        <v>25</v>
      </c>
      <c r="C3" s="31" t="s">
        <v>99</v>
      </c>
      <c r="D3" s="31"/>
    </row>
    <row r="4" spans="1:4" s="4" customFormat="1" ht="22.5" customHeight="1" x14ac:dyDescent="0.25">
      <c r="A4" s="78" t="str">
        <f>UPPER("[Ca đêm] Bảo trì cửa trượt khu vực Public")</f>
        <v>[CA ĐÊM] BẢO TRÌ CỬA TRƯỢT KHU VỰC PUBLIC</v>
      </c>
      <c r="B4" s="8" t="s">
        <v>26</v>
      </c>
      <c r="C4" s="9" t="s">
        <v>100</v>
      </c>
      <c r="D4" s="9"/>
    </row>
    <row r="5" spans="1:4" ht="22.5" customHeight="1" x14ac:dyDescent="0.25">
      <c r="A5" s="79"/>
      <c r="B5" s="12" t="s">
        <v>27</v>
      </c>
      <c r="C5" s="13" t="s">
        <v>101</v>
      </c>
      <c r="D5" s="85"/>
    </row>
    <row r="6" spans="1:4" ht="22.5" customHeight="1" x14ac:dyDescent="0.25">
      <c r="A6" s="79"/>
      <c r="B6" s="10" t="s">
        <v>51</v>
      </c>
      <c r="C6" s="9" t="s">
        <v>102</v>
      </c>
      <c r="D6" s="86"/>
    </row>
    <row r="7" spans="1:4" s="3" customFormat="1" ht="22.5" customHeight="1" x14ac:dyDescent="0.25">
      <c r="A7" s="79"/>
      <c r="B7" s="14" t="s">
        <v>52</v>
      </c>
      <c r="C7" s="13" t="s">
        <v>103</v>
      </c>
      <c r="D7" s="85"/>
    </row>
    <row r="8" spans="1:4" s="4" customFormat="1" ht="22.5" customHeight="1" x14ac:dyDescent="0.25">
      <c r="A8" s="79"/>
      <c r="B8" s="65" t="s">
        <v>29</v>
      </c>
      <c r="C8" s="27" t="s">
        <v>112</v>
      </c>
      <c r="D8" s="87"/>
    </row>
    <row r="9" spans="1:4" ht="42" customHeight="1" x14ac:dyDescent="0.25">
      <c r="A9" s="79"/>
      <c r="B9" s="68" t="s">
        <v>29</v>
      </c>
      <c r="C9" s="69" t="s">
        <v>115</v>
      </c>
      <c r="D9" s="88">
        <v>1</v>
      </c>
    </row>
    <row r="10" spans="1:4" s="4" customFormat="1" ht="22.5" customHeight="1" x14ac:dyDescent="0.25">
      <c r="A10" s="79"/>
      <c r="B10" s="66" t="s">
        <v>36</v>
      </c>
      <c r="C10" s="27" t="s">
        <v>104</v>
      </c>
      <c r="D10" s="89"/>
    </row>
    <row r="11" spans="1:4" s="4" customFormat="1" ht="22.5" customHeight="1" x14ac:dyDescent="0.25">
      <c r="A11" s="79"/>
      <c r="B11" s="66" t="s">
        <v>87</v>
      </c>
      <c r="C11" s="27" t="s">
        <v>104</v>
      </c>
      <c r="D11" s="89"/>
    </row>
    <row r="12" spans="1:4" s="4" customFormat="1" ht="42" customHeight="1" x14ac:dyDescent="0.25">
      <c r="A12" s="79"/>
      <c r="B12" s="68" t="s">
        <v>87</v>
      </c>
      <c r="C12" s="69" t="s">
        <v>115</v>
      </c>
      <c r="D12" s="90">
        <v>1</v>
      </c>
    </row>
    <row r="13" spans="1:4" s="4" customFormat="1" ht="22.5" customHeight="1" x14ac:dyDescent="0.25">
      <c r="A13" s="79"/>
      <c r="B13" s="65" t="s">
        <v>53</v>
      </c>
      <c r="C13" s="27" t="s">
        <v>105</v>
      </c>
      <c r="D13" s="27"/>
    </row>
    <row r="14" spans="1:4" s="4" customFormat="1" ht="42" customHeight="1" x14ac:dyDescent="0.25">
      <c r="A14" s="80"/>
      <c r="B14" s="68" t="s">
        <v>53</v>
      </c>
      <c r="C14" s="69" t="s">
        <v>115</v>
      </c>
      <c r="D14" s="91">
        <v>1</v>
      </c>
    </row>
    <row r="15" spans="1:4" s="4" customFormat="1" ht="22.5" customHeight="1" x14ac:dyDescent="0.25">
      <c r="A15" s="78" t="str">
        <f>UPPER("[Ca đêm] Bảo trì tủ điện phòng máy")</f>
        <v>[CA ĐÊM] BẢO TRÌ TỦ ĐIỆN PHÒNG MÁY</v>
      </c>
      <c r="B15" s="15" t="s">
        <v>86</v>
      </c>
      <c r="C15" s="61" t="s">
        <v>106</v>
      </c>
      <c r="D15" s="92"/>
    </row>
    <row r="16" spans="1:4" s="4" customFormat="1" ht="22.5" customHeight="1" x14ac:dyDescent="0.25">
      <c r="A16" s="79"/>
      <c r="B16" s="11" t="s">
        <v>55</v>
      </c>
      <c r="C16" s="61" t="s">
        <v>106</v>
      </c>
      <c r="D16" s="92"/>
    </row>
    <row r="17" spans="1:4" s="4" customFormat="1" ht="22.5" customHeight="1" x14ac:dyDescent="0.25">
      <c r="A17" s="79"/>
      <c r="B17" s="15" t="s">
        <v>89</v>
      </c>
      <c r="C17" s="61" t="s">
        <v>107</v>
      </c>
      <c r="D17" s="92"/>
    </row>
    <row r="18" spans="1:4" s="4" customFormat="1" ht="22.5" customHeight="1" x14ac:dyDescent="0.25">
      <c r="A18" s="79"/>
      <c r="B18" s="66" t="s">
        <v>88</v>
      </c>
      <c r="C18" s="61" t="s">
        <v>107</v>
      </c>
      <c r="D18" s="92"/>
    </row>
    <row r="19" spans="1:4" s="4" customFormat="1" ht="22.5" customHeight="1" x14ac:dyDescent="0.25">
      <c r="A19" s="79"/>
      <c r="B19" s="11" t="s">
        <v>54</v>
      </c>
      <c r="C19" s="61" t="s">
        <v>107</v>
      </c>
      <c r="D19" s="92"/>
    </row>
    <row r="20" spans="1:4" s="4" customFormat="1" ht="22.5" customHeight="1" x14ac:dyDescent="0.25">
      <c r="A20" s="80"/>
      <c r="B20" s="32" t="s">
        <v>72</v>
      </c>
      <c r="C20" s="62" t="s">
        <v>108</v>
      </c>
      <c r="D20" s="92"/>
    </row>
    <row r="21" spans="1:4" s="4" customFormat="1" ht="36" customHeight="1" x14ac:dyDescent="0.25">
      <c r="A21" s="45" t="str">
        <f>UPPER("[CA ĐÊM] Chốt số, làm file, in số điện Bảo trì, vệ sinh tủ điện khu vực Office")</f>
        <v>[CA ĐÊM] CHỐT SỐ, LÀM FILE, IN SỐ ĐIỆN BẢO TRÌ, VỆ SINH TỦ ĐIỆN KHU VỰC OFFICE</v>
      </c>
      <c r="B21" s="30" t="s">
        <v>70</v>
      </c>
      <c r="C21" s="31" t="s">
        <v>114</v>
      </c>
      <c r="D21" s="93"/>
    </row>
    <row r="22" spans="1:4" s="4" customFormat="1" ht="48" customHeight="1" x14ac:dyDescent="0.25">
      <c r="A22" s="45" t="str">
        <f>UPPER("[Ca đêm] Xuất số điện SR, check số điện Bảo trì, vệ sinh tủ điện khu vực Office, Lotte Family")</f>
        <v>[CA ĐÊM] XUẤT SỐ ĐIỆN SR, CHECK SỐ ĐIỆN BẢO TRÌ, VỆ SINH TỦ ĐIỆN KHU VỰC OFFICE, LOTTE FAMILY</v>
      </c>
      <c r="B22" s="30" t="s">
        <v>71</v>
      </c>
      <c r="C22" s="31" t="s">
        <v>113</v>
      </c>
      <c r="D22" s="94"/>
    </row>
    <row r="23" spans="1:4" s="4" customFormat="1" ht="22.5" customHeight="1" x14ac:dyDescent="0.25">
      <c r="A23" s="81" t="str">
        <f>UPPER("[Ca đêm] Bảo trì tủ điện phòng máy")</f>
        <v>[CA ĐÊM] BẢO TRÌ TỦ ĐIỆN PHÒNG MÁY</v>
      </c>
      <c r="B23" s="33" t="s">
        <v>91</v>
      </c>
      <c r="C23" s="63" t="s">
        <v>108</v>
      </c>
      <c r="D23" s="89"/>
    </row>
    <row r="24" spans="1:4" s="4" customFormat="1" ht="22.5" customHeight="1" x14ac:dyDescent="0.25">
      <c r="A24" s="82"/>
      <c r="B24" s="33" t="s">
        <v>90</v>
      </c>
      <c r="C24" s="63" t="s">
        <v>108</v>
      </c>
      <c r="D24" s="89"/>
    </row>
    <row r="25" spans="1:4" s="4" customFormat="1" ht="22.5" customHeight="1" x14ac:dyDescent="0.25">
      <c r="A25" s="82"/>
      <c r="B25" s="15" t="s">
        <v>93</v>
      </c>
      <c r="C25" s="61" t="s">
        <v>109</v>
      </c>
      <c r="D25" s="92"/>
    </row>
    <row r="26" spans="1:4" s="4" customFormat="1" ht="22.5" customHeight="1" x14ac:dyDescent="0.25">
      <c r="A26" s="82"/>
      <c r="B26" s="66" t="s">
        <v>42</v>
      </c>
      <c r="C26" s="61" t="s">
        <v>109</v>
      </c>
      <c r="D26" s="92"/>
    </row>
    <row r="27" spans="1:4" s="4" customFormat="1" ht="22.5" customHeight="1" x14ac:dyDescent="0.25">
      <c r="A27" s="83"/>
      <c r="B27" s="66" t="s">
        <v>92</v>
      </c>
      <c r="C27" s="61" t="s">
        <v>109</v>
      </c>
      <c r="D27" s="92"/>
    </row>
    <row r="28" spans="1:4" s="4" customFormat="1" ht="22.5" customHeight="1" x14ac:dyDescent="0.25">
      <c r="A28" s="77" t="str">
        <f>UPPER("[Ca đêm] Bảo trì tủ điện, ĐÈN HÀNH LANG, NHÀ VỆ SINH Bảo trì, vệ sinh tủ điện khu vực Office")</f>
        <v>[CA ĐÊM] BẢO TRÌ TỦ ĐIỆN, ĐÈN HÀNH LANG, NHÀ VỆ SINH BẢO TRÌ, VỆ SINH TỦ ĐIỆN KHU VỰC OFFICE</v>
      </c>
      <c r="B28" s="11" t="s">
        <v>94</v>
      </c>
      <c r="C28" s="27" t="s">
        <v>110</v>
      </c>
      <c r="D28" s="89"/>
    </row>
    <row r="29" spans="1:4" s="4" customFormat="1" ht="22.5" customHeight="1" x14ac:dyDescent="0.25">
      <c r="A29" s="77"/>
      <c r="B29" s="67" t="s">
        <v>95</v>
      </c>
      <c r="C29" s="27" t="s">
        <v>110</v>
      </c>
      <c r="D29" s="89"/>
    </row>
    <row r="30" spans="1:4" s="4" customFormat="1" ht="22.5" customHeight="1" x14ac:dyDescent="0.25">
      <c r="A30" s="77"/>
      <c r="B30" s="32" t="s">
        <v>96</v>
      </c>
      <c r="C30" s="62" t="s">
        <v>111</v>
      </c>
      <c r="D30" s="92"/>
    </row>
    <row r="31" spans="1:4" s="4" customFormat="1" ht="30" customHeight="1" x14ac:dyDescent="0.25">
      <c r="A31" s="64"/>
      <c r="B31" s="32" t="s">
        <v>97</v>
      </c>
      <c r="C31" s="62" t="s">
        <v>111</v>
      </c>
      <c r="D31" s="92"/>
    </row>
    <row r="32" spans="1:4" s="4" customFormat="1" ht="46.5" customHeight="1" x14ac:dyDescent="0.25">
      <c r="A32" s="44" t="s">
        <v>64</v>
      </c>
      <c r="B32" s="30" t="s">
        <v>73</v>
      </c>
      <c r="C32" s="31" t="s">
        <v>116</v>
      </c>
      <c r="D32" s="93"/>
    </row>
    <row r="33" spans="1:4" ht="36" customHeight="1" x14ac:dyDescent="0.25">
      <c r="A33" s="44" t="str">
        <f>UPPER("[Ca đêm] KIỂM KHO VẬT TƯ THÁNG")</f>
        <v>[CA ĐÊM] KIỂM KHO VẬT TƯ THÁNG</v>
      </c>
      <c r="B33" s="34" t="s">
        <v>74</v>
      </c>
      <c r="C33" s="31" t="s">
        <v>60</v>
      </c>
      <c r="D33" s="94"/>
    </row>
  </sheetData>
  <mergeCells count="4">
    <mergeCell ref="A28:A30"/>
    <mergeCell ref="A4:A14"/>
    <mergeCell ref="A15:A20"/>
    <mergeCell ref="A23:A27"/>
  </mergeCells>
  <pageMargins left="0.7" right="0.7" top="0.75" bottom="0.75" header="0.3" footer="0.3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2889-93F2-47F4-8851-4D037EEB479A}">
  <dimension ref="A1:V1"/>
  <sheetViews>
    <sheetView view="pageBreakPreview" topLeftCell="A13" zoomScale="85" zoomScaleNormal="100" zoomScaleSheetLayoutView="85" workbookViewId="0">
      <selection activeCell="Y13" sqref="Y13"/>
    </sheetView>
  </sheetViews>
  <sheetFormatPr defaultRowHeight="15" x14ac:dyDescent="0.25"/>
  <cols>
    <col min="22" max="22" width="5.7109375" customWidth="1"/>
  </cols>
  <sheetData>
    <row r="1" spans="1:22" ht="24" customHeight="1" x14ac:dyDescent="0.35">
      <c r="A1" s="84" t="s">
        <v>80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</row>
  </sheetData>
  <mergeCells count="1">
    <mergeCell ref="A1:V1"/>
  </mergeCells>
  <printOptions verticalCentered="1"/>
  <pageMargins left="0.62992125984251968" right="0.43307086614173229" top="0.39370078740157483" bottom="0.39370078740157483" header="0.19685039370078741" footer="0.19685039370078741"/>
  <pageSetup paperSize="8" scale="98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Công việc tháng</vt:lpstr>
      <vt:lpstr>Ca đêm</vt:lpstr>
      <vt:lpstr>Sheet1</vt:lpstr>
      <vt:lpstr>'Ca đêm'!Print_Area</vt:lpstr>
      <vt:lpstr>'Công việc tháng'!Print_Area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Ducnguyen</dc:creator>
  <cp:lastModifiedBy>Son Nguyen Minh</cp:lastModifiedBy>
  <cp:lastPrinted>2025-10-29T10:42:07Z</cp:lastPrinted>
  <dcterms:created xsi:type="dcterms:W3CDTF">2015-06-05T18:17:20Z</dcterms:created>
  <dcterms:modified xsi:type="dcterms:W3CDTF">2026-09-04T06:54:25Z</dcterms:modified>
</cp:coreProperties>
</file>